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arefas" sheetId="2" state="visible" r:id="rId4"/>
    <sheet name="Rubrica" sheetId="3" state="visible" r:id="rId5"/>
  </sheets>
  <definedNames>
    <definedName function="false" hidden="true" localSheetId="1" name="_xlnm._FilterDatabase" vbProcedure="false">Tarefas!$A$4:$I$52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<sst xmlns="http://schemas.openxmlformats.org/spreadsheetml/2006/main" count="544" uniqueCount="239">
  <si>
    <t xml:space="preserve">Batalha Naval — Plano para nota 10</t>
  </si>
  <si>
    <t xml:space="preserve">Preencha os nomes nas células amarelas. Edite o andamento na aba Tarefas; esta aba atualiza sozinha.</t>
  </si>
  <si>
    <t xml:space="preserve">1. Equipe e andamento das tarefas</t>
  </si>
  <si>
    <t xml:space="preserve">Código</t>
  </si>
  <si>
    <t xml:space="preserve">Nome (preencher)</t>
  </si>
  <si>
    <t xml:space="preserve">Foco</t>
  </si>
  <si>
    <t xml:space="preserve">Total</t>
  </si>
  <si>
    <t xml:space="preserve">Feito</t>
  </si>
  <si>
    <t xml:space="preserve">Revisar e ajustar</t>
  </si>
  <si>
    <t xml:space="preserve">A fazer</t>
  </si>
  <si>
    <t xml:space="preserve">% feito</t>
  </si>
  <si>
    <t xml:space="preserve">P1</t>
  </si>
  <si>
    <t xml:space="preserve">Nome do participante 1</t>
  </si>
  <si>
    <t xml:space="preserve">Interface gráfica</t>
  </si>
  <si>
    <t xml:space="preserve">P2</t>
  </si>
  <si>
    <t xml:space="preserve">Nome do participante 2</t>
  </si>
  <si>
    <t xml:space="preserve">Lógica do jogo e IA</t>
  </si>
  <si>
    <t xml:space="preserve">P3</t>
  </si>
  <si>
    <t xml:space="preserve">Nome do participante 3</t>
  </si>
  <si>
    <t xml:space="preserve">Persistência e visualização</t>
  </si>
  <si>
    <t xml:space="preserve">Todos</t>
  </si>
  <si>
    <t xml:space="preserve">—</t>
  </si>
  <si>
    <t xml:space="preserve">Entrega, registros e apresentação</t>
  </si>
  <si>
    <t xml:space="preserve">2. Cronograma e andamento por etapa</t>
  </si>
  <si>
    <t xml:space="preserve">Etapa</t>
  </si>
  <si>
    <t xml:space="preserve">Data</t>
  </si>
  <si>
    <t xml:space="preserve">Peso na nota individual</t>
  </si>
  <si>
    <t xml:space="preserve">Dias restantes</t>
  </si>
  <si>
    <t xml:space="preserve">Sprint 1</t>
  </si>
  <si>
    <t xml:space="preserve">Sprint 2</t>
  </si>
  <si>
    <t xml:space="preserve">Sprint 3</t>
  </si>
  <si>
    <t xml:space="preserve">Final</t>
  </si>
  <si>
    <t xml:space="preserve">3. Pontuação da rubrica (meta: 10,0)</t>
  </si>
  <si>
    <t xml:space="preserve">Obrigatórios (70%)</t>
  </si>
  <si>
    <t xml:space="preserve">Soma dos critérios obrigatórios da rubrica</t>
  </si>
  <si>
    <t xml:space="preserve">Opcionais planejados</t>
  </si>
  <si>
    <t xml:space="preserve">Interface gráfica + persistência + visualização (tema do projeto)</t>
  </si>
  <si>
    <t xml:space="preserve">Opcionais necessários (30%)</t>
  </si>
  <si>
    <t xml:space="preserve">30% de 10,0, conforme a seção 2 do enunciado (dado do enunciado)</t>
  </si>
  <si>
    <t xml:space="preserve">Nota máxima do projeto</t>
  </si>
  <si>
    <t xml:space="preserve">Limite informado no enunciado: a nota máxima é 10,0</t>
  </si>
  <si>
    <t xml:space="preserve">Pontuação potencial</t>
  </si>
  <si>
    <t xml:space="preserve">Se todos os critérios planejados forem 'Completo'</t>
  </si>
  <si>
    <t xml:space="preserve">Situação dos opcionais</t>
  </si>
  <si>
    <t xml:space="preserve">A margem acima de 3,0 protege contra um critério sair como 'Parcial'</t>
  </si>
  <si>
    <t xml:space="preserve">Tarefas do projeto — Batalha Naval</t>
  </si>
  <si>
    <t xml:space="preserve">Edite: Sprint, Responsável, Status, Prioridade e Observações (use as listas suspensas). Os números das outras abas se atualizam sozinhos. Linhas novas: até a linha 200.</t>
  </si>
  <si>
    <t xml:space="preserve">ID</t>
  </si>
  <si>
    <t xml:space="preserve">Sprint</t>
  </si>
  <si>
    <t xml:space="preserve">Responsável</t>
  </si>
  <si>
    <t xml:space="preserve">Critério da rubrica</t>
  </si>
  <si>
    <t xml:space="preserve">Atividade</t>
  </si>
  <si>
    <t xml:space="preserve">Arquivo</t>
  </si>
  <si>
    <t xml:space="preserve">Status</t>
  </si>
  <si>
    <t xml:space="preserve">Prioridade</t>
  </si>
  <si>
    <t xml:space="preserve">Observações</t>
  </si>
  <si>
    <t xml:space="preserve">T01</t>
  </si>
  <si>
    <t xml:space="preserve">Entrega e execução</t>
  </si>
  <si>
    <t xml:space="preserve">Criar repositório no GitHub, adicionar os integrantes e dar acesso à professora</t>
  </si>
  <si>
    <t xml:space="preserve">GitHub</t>
  </si>
  <si>
    <t xml:space="preserve">Alta</t>
  </si>
  <si>
    <t xml:space="preserve">Cada integrante trabalha em commits/branch próprios para a autoria ficar comprovável</t>
  </si>
  <si>
    <t xml:space="preserve">T02</t>
  </si>
  <si>
    <t xml:space="preserve">Estrutura de pastas (batalha_naval/, registros_individuais/) e main.py</t>
  </si>
  <si>
    <t xml:space="preserve">main.py</t>
  </si>
  <si>
    <t xml:space="preserve">Média</t>
  </si>
  <si>
    <t xml:space="preserve">Esqueleto já criado e compilando</t>
  </si>
  <si>
    <t xml:space="preserve">T03</t>
  </si>
  <si>
    <t xml:space="preserve">requirements.txt (matplotlib) e .gitignore</t>
  </si>
  <si>
    <t xml:space="preserve">requirements.txt</t>
  </si>
  <si>
    <t xml:space="preserve">Baixa</t>
  </si>
  <si>
    <t xml:space="preserve">Conferir a versão do matplotlib ao testar em máquina limpa</t>
  </si>
  <si>
    <t xml:space="preserve">T04</t>
  </si>
  <si>
    <t xml:space="preserve">README.md completo: descrição, funcionalidades, requisitos, bibliotecas, instalação e execução</t>
  </si>
  <si>
    <t xml:space="preserve">README.md</t>
  </si>
  <si>
    <t xml:space="preserve">Existe um rascunho; cada integrante complementa a sua parte</t>
  </si>
  <si>
    <t xml:space="preserve">T05</t>
  </si>
  <si>
    <t xml:space="preserve">Testar em outro computador/ambiente limpo (venv novo) seguindo apenas o README</t>
  </si>
  <si>
    <t xml:space="preserve">Condição eliminatória: se não executar, a nota do trabalho é 0,0</t>
  </si>
  <si>
    <t xml:space="preserve">T06</t>
  </si>
  <si>
    <t xml:space="preserve">Conferir ausência de caminhos absolutos, credenciais e arquivos que só existam em um computador</t>
  </si>
  <si>
    <t xml:space="preserve">T07</t>
  </si>
  <si>
    <t xml:space="preserve">Registro individual e apresentação</t>
  </si>
  <si>
    <t xml:space="preserve">Registro Individual da Sprint 1 (implementações, testes, estudos, planejamento, com evidências e commits)</t>
  </si>
  <si>
    <t xml:space="preserve">nome_completo_do_estudante.docx</t>
  </si>
  <si>
    <t xml:space="preserve">Evidências concretas: commits, trechos de código, fontes estudadas. Evitar frases genéricas</t>
  </si>
  <si>
    <t xml:space="preserve">T08</t>
  </si>
  <si>
    <t xml:space="preserve">Registro Individual da Sprint 2</t>
  </si>
  <si>
    <t xml:space="preserve">T09</t>
  </si>
  <si>
    <t xml:space="preserve">Registro Individual da Sprint 3</t>
  </si>
  <si>
    <t xml:space="preserve">T10</t>
  </si>
  <si>
    <t xml:space="preserve">Exportar os registros em PDF (nome_completo_do_estudante.pdf) para registros_individuais/</t>
  </si>
  <si>
    <t xml:space="preserve">registros_individuais/</t>
  </si>
  <si>
    <t xml:space="preserve">T11</t>
  </si>
  <si>
    <t xml:space="preserve">Preparar a apresentação: cada um explica suas contribuições e decisões de implementação</t>
  </si>
  <si>
    <t xml:space="preserve">Vale 40% da nota individual</t>
  </si>
  <si>
    <t xml:space="preserve">T12</t>
  </si>
  <si>
    <t xml:space="preserve">Janela principal e troca de telas (App.mostrar)</t>
  </si>
  <si>
    <t xml:space="preserve">interface.py</t>
  </si>
  <si>
    <t xml:space="preserve">Código escrito mas ainda NÃO executado: rodar e validar</t>
  </si>
  <si>
    <t xml:space="preserve">T13</t>
  </si>
  <si>
    <t xml:space="preserve">Widget TabuleiroCanvas: desenho da grade, hover e clique</t>
  </si>
  <si>
    <t xml:space="preserve">Validar coordenadas (A–J / 1–10) e cores</t>
  </si>
  <si>
    <t xml:space="preserve">T14</t>
  </si>
  <si>
    <t xml:space="preserve">Tela de menu</t>
  </si>
  <si>
    <t xml:space="preserve">T15</t>
  </si>
  <si>
    <t xml:space="preserve">Interação com o usuário</t>
  </si>
  <si>
    <t xml:space="preserve">Tela de posicionamento: prévia, girar, aleatório, limpar e iniciar</t>
  </si>
  <si>
    <t xml:space="preserve">Testar botão direito no seu sistema (Windows/Linux/macOS)</t>
  </si>
  <si>
    <t xml:space="preserve">T16</t>
  </si>
  <si>
    <t xml:space="preserve">Controle do fluxo de execução</t>
  </si>
  <si>
    <t xml:space="preserve">Tela de batalha: turnos jogador/IA, log de jogadas e fim de partida</t>
  </si>
  <si>
    <t xml:space="preserve">Jogar uma partida completa; checar bloqueio de cliques durante a vez da IA</t>
  </si>
  <si>
    <t xml:space="preserve">T17</t>
  </si>
  <si>
    <t xml:space="preserve">Tela de nome do jogador com validação (vazio, tamanho máximo)</t>
  </si>
  <si>
    <t xml:space="preserve">O nome entra no histórico e no ranking</t>
  </si>
  <si>
    <t xml:space="preserve">T18</t>
  </si>
  <si>
    <t xml:space="preserve">Desistir/voltar ao menu com confirmação; desistência conta como derrota no histórico</t>
  </si>
  <si>
    <t xml:space="preserve">T19</t>
  </si>
  <si>
    <t xml:space="preserve">Painel de frota: mostrar quais navios já foram afundados (jogador e inimigo)</t>
  </si>
  <si>
    <t xml:space="preserve">Depende de P2 expor os navios afundados</t>
  </si>
  <si>
    <t xml:space="preserve">T20</t>
  </si>
  <si>
    <t xml:space="preserve">Modularização e organização do código</t>
  </si>
  <si>
    <t xml:space="preserve">Dividir interface.py em um arquivo por tela (menu, posicionamento, batalha, estatísticas)</t>
  </si>
  <si>
    <t xml:space="preserve">interface/</t>
  </si>
  <si>
    <t xml:space="preserve">Fazer só depois que as telas estiverem estáveis</t>
  </si>
  <si>
    <t xml:space="preserve">T21</t>
  </si>
  <si>
    <t xml:space="preserve">Confiabilidade e tratamento de situações previstas</t>
  </si>
  <si>
    <t xml:space="preserve">Mensagem de erro amigável se o salvamento da partida falhar</t>
  </si>
  <si>
    <t xml:space="preserve">Usa a função de P3</t>
  </si>
  <si>
    <t xml:space="preserve">T22</t>
  </si>
  <si>
    <t xml:space="preserve">Visualização de informações</t>
  </si>
  <si>
    <t xml:space="preserve">Tela de estatísticas: tabela de histórico (ttk.Treeview) e botões para alternar gráficos</t>
  </si>
  <si>
    <t xml:space="preserve">Depende do histórico de P3</t>
  </si>
  <si>
    <t xml:space="preserve">T23</t>
  </si>
  <si>
    <t xml:space="preserve">Embutir os gráficos de estatisticas.py na tela (FigureCanvasTkAgg)</t>
  </si>
  <si>
    <t xml:space="preserve">Usa as funções de P3 que devolvem Figure</t>
  </si>
  <si>
    <t xml:space="preserve">T24</t>
  </si>
  <si>
    <t xml:space="preserve">Tratar o fechamento da janela no meio da partida</t>
  </si>
  <si>
    <t xml:space="preserve">T25</t>
  </si>
  <si>
    <t xml:space="preserve">Checklist de testes manuais de todas as telas e botões</t>
  </si>
  <si>
    <t xml:space="preserve">Registrar resultados no Registro Individual</t>
  </si>
  <si>
    <t xml:space="preserve">T26</t>
  </si>
  <si>
    <t xml:space="preserve">Polimento visual (cores, fontes, alinhamento)</t>
  </si>
  <si>
    <t xml:space="preserve">T27</t>
  </si>
  <si>
    <t xml:space="preserve">Organização e manipulação de dados</t>
  </si>
  <si>
    <t xml:space="preserve">Constantes e estruturas: grade (lista de listas), lista de navios, estados da célula</t>
  </si>
  <si>
    <t xml:space="preserve">modelo.py</t>
  </si>
  <si>
    <t xml:space="preserve">Revisar e saber justificar a escolha das estruturas</t>
  </si>
  <si>
    <t xml:space="preserve">T28</t>
  </si>
  <si>
    <t xml:space="preserve">Processamento e regras de negócio</t>
  </si>
  <si>
    <t xml:space="preserve">Classe Tabuleiro: posicionar, validar limites/sobreposição e atirar</t>
  </si>
  <si>
    <t xml:space="preserve">Versão mínima criada; revisar casos de borda</t>
  </si>
  <si>
    <t xml:space="preserve">T29</t>
  </si>
  <si>
    <t xml:space="preserve">Posicionamento aleatório da frota</t>
  </si>
  <si>
    <t xml:space="preserve">Confirmar que o laço sempre termina</t>
  </si>
  <si>
    <t xml:space="preserve">T30</t>
  </si>
  <si>
    <t xml:space="preserve">Detecção de navio afundado e fim de jogo</t>
  </si>
  <si>
    <t xml:space="preserve">T31</t>
  </si>
  <si>
    <t xml:space="preserve">IA: tiro aleatório + caça nos vizinhos após acerto</t>
  </si>
  <si>
    <t xml:space="preserve">Smoke test: IA afundou uma frota em 79 tiros. Faltam testes completos</t>
  </si>
  <si>
    <t xml:space="preserve">T32</t>
  </si>
  <si>
    <t xml:space="preserve">Testes automatizados (unittest): posicionamento inválido, tiro repetido, afundar, vitória</t>
  </si>
  <si>
    <t xml:space="preserve">tests/test_modelo.py</t>
  </si>
  <si>
    <t xml:space="preserve">Evidência ótima para o registro (Testes e investigações)</t>
  </si>
  <si>
    <t xml:space="preserve">T33</t>
  </si>
  <si>
    <t xml:space="preserve">Validar entradas de atirar/posicionar (índices fora do tabuleiro, tipos inválidos) sem quebrar o programa</t>
  </si>
  <si>
    <t xml:space="preserve">T34</t>
  </si>
  <si>
    <t xml:space="preserve">Criar classe Partida (turnos, vencedor, contadores de tiros/acertos/duração), tirando essa lógica da interface</t>
  </si>
  <si>
    <t xml:space="preserve">Combinar a assinatura com P1 e P3 antes de implementar</t>
  </si>
  <si>
    <t xml:space="preserve">T35</t>
  </si>
  <si>
    <t xml:space="preserve">Melhorar a IA: continuar na direção do acerto e tiros em paridade (nível único)</t>
  </si>
  <si>
    <t xml:space="preserve">Sem modos de dificuldade, conforme decisão da equipe</t>
  </si>
  <si>
    <t xml:space="preserve">T36</t>
  </si>
  <si>
    <t xml:space="preserve">Simulação de 1000 partidas (IA x tabuleiros aleatórios) para garantir que nunca trava</t>
  </si>
  <si>
    <t xml:space="preserve">T37</t>
  </si>
  <si>
    <t xml:space="preserve">Revisar funções: docstrings, responsabilidade única e remoção de repetições</t>
  </si>
  <si>
    <t xml:space="preserve">T38</t>
  </si>
  <si>
    <t xml:space="preserve">Persistência de dados</t>
  </si>
  <si>
    <t xml:space="preserve">Definir o formato do registro de partida (data/hora, jogador, vencedor, tiros, acertos, tiros do inimigo, duração) e usar JSON</t>
  </si>
  <si>
    <t xml:space="preserve">persistencia.py</t>
  </si>
  <si>
    <t xml:space="preserve">Combinar os campos com P1 e P2</t>
  </si>
  <si>
    <t xml:space="preserve">T39</t>
  </si>
  <si>
    <t xml:space="preserve">salvar_partida(): gravar em dados/historico.json, criando a pasta se não existir</t>
  </si>
  <si>
    <t xml:space="preserve">A interface já chama ao_terminar_partida (por enquanto só imprime)</t>
  </si>
  <si>
    <t xml:space="preserve">T40</t>
  </si>
  <si>
    <t xml:space="preserve">carregar_historico(): tratar arquivo ausente, vazio ou corrompido sem derrubar o programa</t>
  </si>
  <si>
    <t xml:space="preserve">T41</t>
  </si>
  <si>
    <t xml:space="preserve">Caminhos relativos com pathlib (relativos à pasta do projeto)</t>
  </si>
  <si>
    <t xml:space="preserve">Evita o risco de nota zero por caminho absoluto</t>
  </si>
  <si>
    <t xml:space="preserve">T42</t>
  </si>
  <si>
    <t xml:space="preserve">Conectar salvar_partida ao fim da partida e carregar o histórico ao abrir o programa</t>
  </si>
  <si>
    <t xml:space="preserve">Fazer em conjunto com P1</t>
  </si>
  <si>
    <t xml:space="preserve">T43</t>
  </si>
  <si>
    <t xml:space="preserve">Funções de estatística: total de partidas, vitórias/derrotas, taxa de vitória, precisão média, melhor partida, ranking por jogador</t>
  </si>
  <si>
    <t xml:space="preserve">estatisticas.py</t>
  </si>
  <si>
    <t xml:space="preserve">T44</t>
  </si>
  <si>
    <t xml:space="preserve">Gráfico de vitórias x derrotas (retorna Figure)</t>
  </si>
  <si>
    <t xml:space="preserve">T45</t>
  </si>
  <si>
    <t xml:space="preserve">Gráfico da precisão (%) por partida ao longo do tempo</t>
  </si>
  <si>
    <t xml:space="preserve">T46</t>
  </si>
  <si>
    <t xml:space="preserve">Gráfico de ranking por jogador (barras)</t>
  </si>
  <si>
    <t xml:space="preserve">T47</t>
  </si>
  <si>
    <t xml:space="preserve">Tratar histórico vazio (mensagem em vez de gráfico quebrado)</t>
  </si>
  <si>
    <t xml:space="preserve">T48</t>
  </si>
  <si>
    <t xml:space="preserve">Testes de persistência: salvar, fechar/reabrir, arquivo apagado, JSON corrompido</t>
  </si>
  <si>
    <t xml:space="preserve">tests/test_persistencia.py</t>
  </si>
  <si>
    <t xml:space="preserve">Rubrica de avaliação × plano da equipe</t>
  </si>
  <si>
    <t xml:space="preserve">Peso de 'Revisar e ajustar' no progresso (Feito = 1, A fazer = 0):</t>
  </si>
  <si>
    <t xml:space="preserve">Premissa da equipe: ajuste se quiser outro peso.</t>
  </si>
  <si>
    <t xml:space="preserve">Critério</t>
  </si>
  <si>
    <t xml:space="preserve">Tipo</t>
  </si>
  <si>
    <t xml:space="preserve">Pontos máx.</t>
  </si>
  <si>
    <t xml:space="preserve">Planejado?</t>
  </si>
  <si>
    <t xml:space="preserve">Responsável principal</t>
  </si>
  <si>
    <t xml:space="preserve">Tarefas</t>
  </si>
  <si>
    <t xml:space="preserve">Progresso</t>
  </si>
  <si>
    <t xml:space="preserve">O que a rubrica pede para 'Completo'</t>
  </si>
  <si>
    <t xml:space="preserve">Obrigatório</t>
  </si>
  <si>
    <t xml:space="preserve">Sim</t>
  </si>
  <si>
    <t xml:space="preserve">Interação clara e funcional; as escolhas do usuário (nome, cliques) influenciam o programa</t>
  </si>
  <si>
    <t xml:space="preserve">Regras corretas em diferentes condições, com resultados coerentes</t>
  </si>
  <si>
    <t xml:space="preserve">P2 + P1</t>
  </si>
  <si>
    <t xml:space="preserve">Repetições e condições de continuidade/encerramento adequadas (turnos, fim de jogo, desistência)</t>
  </si>
  <si>
    <t xml:space="preserve">P2 + P3</t>
  </si>
  <si>
    <t xml:space="preserve">Estruturas de dados compatíveis com a aplicação (grade, navios, histórico)</t>
  </si>
  <si>
    <t xml:space="preserve">Funções com responsabilidades bem definidas, sem repetição desnecessária</t>
  </si>
  <si>
    <t xml:space="preserve">Funciona e trata situações previsíveis (tiro repetido, arquivo corrompido, histórico vazio)</t>
  </si>
  <si>
    <t xml:space="preserve">Opcional</t>
  </si>
  <si>
    <t xml:space="preserve">Interface funcional e integrada às operações do programa</t>
  </si>
  <si>
    <t xml:space="preserve">Salvar e recuperar informações entre execuções</t>
  </si>
  <si>
    <t xml:space="preserve">P3 + P1</t>
  </si>
  <si>
    <t xml:space="preserve">Visualizações corretas e relacionadas aos dados processados</t>
  </si>
  <si>
    <t xml:space="preserve">Funcionalidade adicional proposta pela equipe</t>
  </si>
  <si>
    <t xml:space="preserve">Não</t>
  </si>
  <si>
    <t xml:space="preserve">Reserva: exige aprovação prévia da professora (pontuação e critérios)</t>
  </si>
  <si>
    <t xml:space="preserve">Integração com serviços externos</t>
  </si>
  <si>
    <t xml:space="preserve">Reserva: consulta a API; aumenta o risco de a execução falhar. Não planejada</t>
  </si>
  <si>
    <t xml:space="preserve">Obs.: 'Planejado?' (azul) indica se a equipe pretende buscar aquele critério opcional. Os critérios obrigatórios são sempre contados.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</si>
</sst>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B25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B25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0"/>
        <bgColor rgb="FF003300"/>
      </patternFill>
    </fill>
    <fill>
      <patternFill patternType="solid">
        <fgColor rgb="FFFFFF99"/>
        <bgColor rgb="FFFFF1B8"/>
      </patternFill>
    </fill>
    <fill>
      <patternFill patternType="solid">
        <fgColor rgb="FFDCE9F5"/>
        <bgColor rgb="FFC6E7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F7CFCF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>
          <bgColor rgb="FFC6E7CF"/>
        </patternFill>
      </fill>
    </dxf>
    <dxf>
      <fill>
        <patternFill>
          <bgColor rgb="FFFFF1B8"/>
        </patternFill>
      </fill>
    </dxf>
    <dxf>
      <fill>
        <patternFill>
          <bgColor rgb="FFF7CF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4"/>
      <rgbColor rgb="FF808080"/>
      <rgbColor rgb="FF9999FF"/>
      <rgbColor rgb="FF993366"/>
      <rgbColor rgb="FFFFF1B8"/>
      <rgbColor rgb="FFDCE9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F"/>
      <rgbColor rgb="FFFFFF99"/>
      <rgbColor rgb="FF99CCFF"/>
      <rgbColor rgb="FFFF99CC"/>
      <rgbColor rgb="FFCC99FF"/>
      <rgbColor rgb="FFF7CFCF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s">
        <v>13</v>
      </c>
      <c r="D6" s="5" t="n">
        <f aca="false">COUNTIF(Tarefas!$C$5:$C$200,$A6)</f>
        <v>16</v>
      </c>
      <c r="E6" s="5" t="n">
        <f aca="false">COUNTIFS(Tarefas!$C$5:$C$200,$A6,Tarefas!$G$5:$G$200,E$5)</f>
        <v>1</v>
      </c>
      <c r="F6" s="5" t="n">
        <f aca="false">COUNTIFS(Tarefas!$C$5:$C$200,$A6,Tarefas!$G$5:$G$200,F$5)</f>
        <v>5</v>
      </c>
      <c r="G6" s="5" t="n">
        <f aca="false">COUNTIFS(Tarefas!$C$5:$C$200,$A6,Tarefas!$G$5:$G$200,G$5)</f>
        <v>10</v>
      </c>
      <c r="H6" s="8" t="n">
        <f aca="false">IF(D6=0,0,E6/D6)</f>
        <v>0.0625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s">
        <v>16</v>
      </c>
      <c r="D7" s="5" t="n">
        <f aca="false">COUNTIF(Tarefas!$C$5:$C$200,$A7)</f>
        <v>13</v>
      </c>
      <c r="E7" s="5" t="n">
        <f aca="false">COUNTIFS(Tarefas!$C$5:$C$200,$A7,Tarefas!$G$5:$G$200,E$5)</f>
        <v>0</v>
      </c>
      <c r="F7" s="5" t="n">
        <f aca="false">COUNTIFS(Tarefas!$C$5:$C$200,$A7,Tarefas!$G$5:$G$200,F$5)</f>
        <v>6</v>
      </c>
      <c r="G7" s="5" t="n">
        <f aca="false">COUNTIFS(Tarefas!$C$5:$C$200,$A7,Tarefas!$G$5:$G$200,G$5)</f>
        <v>7</v>
      </c>
      <c r="H7" s="8" t="n">
        <f aca="false">IF(D7=0,0,E7/D7)</f>
        <v>0</v>
      </c>
    </row>
    <row r="8" customFormat="false" ht="15" hidden="false" customHeight="false" outlineLevel="0" collapsed="false">
      <c r="A8" s="5" t="s">
        <v>17</v>
      </c>
      <c r="B8" s="6" t="s">
        <v>18</v>
      </c>
      <c r="C8" s="7" t="s">
        <v>19</v>
      </c>
      <c r="D8" s="5" t="n">
        <f aca="false">COUNTIF(Tarefas!$C$5:$C$200,$A8)</f>
        <v>12</v>
      </c>
      <c r="E8" s="5" t="n">
        <f aca="false">COUNTIFS(Tarefas!$C$5:$C$200,$A8,Tarefas!$G$5:$G$200,E$5)</f>
        <v>1</v>
      </c>
      <c r="F8" s="5" t="n">
        <f aca="false">COUNTIFS(Tarefas!$C$5:$C$200,$A8,Tarefas!$G$5:$G$200,F$5)</f>
        <v>0</v>
      </c>
      <c r="G8" s="5" t="n">
        <f aca="false">COUNTIFS(Tarefas!$C$5:$C$200,$A8,Tarefas!$G$5:$G$200,G$5)</f>
        <v>11</v>
      </c>
      <c r="H8" s="8" t="n">
        <f aca="false">IF(D8=0,0,E8/D8)</f>
        <v>0.0833333333333333</v>
      </c>
    </row>
    <row r="9" customFormat="false" ht="15" hidden="false" customHeight="false" outlineLevel="0" collapsed="false">
      <c r="A9" s="5" t="s">
        <v>20</v>
      </c>
      <c r="B9" s="7" t="s">
        <v>21</v>
      </c>
      <c r="C9" s="7" t="s">
        <v>22</v>
      </c>
      <c r="D9" s="5" t="n">
        <f aca="false">COUNTIF(Tarefas!$C$5:$C$200,$A9)</f>
        <v>7</v>
      </c>
      <c r="E9" s="5" t="n">
        <f aca="false">COUNTIFS(Tarefas!$C$5:$C$200,$A9,Tarefas!$G$5:$G$200,E$5)</f>
        <v>0</v>
      </c>
      <c r="F9" s="5" t="n">
        <f aca="false">COUNTIFS(Tarefas!$C$5:$C$200,$A9,Tarefas!$G$5:$G$200,F$5)</f>
        <v>0</v>
      </c>
      <c r="G9" s="5" t="n">
        <f aca="false">COUNTIFS(Tarefas!$C$5:$C$200,$A9,Tarefas!$G$5:$G$200,G$5)</f>
        <v>7</v>
      </c>
      <c r="H9" s="8" t="n">
        <f aca="false">IF(D9=0,0,E9/D9)</f>
        <v>0</v>
      </c>
    </row>
    <row r="10" customFormat="false" ht="15" hidden="false" customHeight="false" outlineLevel="0" collapsed="false">
      <c r="A10" s="9" t="s">
        <v>6</v>
      </c>
      <c r="B10" s="10"/>
      <c r="C10" s="10"/>
      <c r="D10" s="9" t="n">
        <f aca="false">SUM(D6:D9)</f>
        <v>48</v>
      </c>
      <c r="E10" s="9" t="n">
        <f aca="false">SUM(E6:E9)</f>
        <v>2</v>
      </c>
      <c r="F10" s="9" t="n">
        <f aca="false">SUM(F6:F9)</f>
        <v>11</v>
      </c>
      <c r="G10" s="9" t="n">
        <f aca="false">SUM(G6:G9)</f>
        <v>35</v>
      </c>
      <c r="H10" s="11" t="n">
        <f aca="false">IF(D10=0,0,E10/D10)</f>
        <v>0.0416666666666667</v>
      </c>
    </row>
    <row r="12" customFormat="false" ht="15" hidden="false" customHeight="false" outlineLevel="0" collapsed="false">
      <c r="A12" s="3" t="s">
        <v>23</v>
      </c>
    </row>
    <row r="13" customFormat="false" ht="23.85" hidden="false" customHeight="false" outlineLevel="0" collapsed="false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6</v>
      </c>
      <c r="F13" s="4" t="s">
        <v>7</v>
      </c>
      <c r="G13" s="4" t="s">
        <v>8</v>
      </c>
      <c r="H13" s="4" t="s">
        <v>9</v>
      </c>
    </row>
    <row r="14" customFormat="false" ht="15" hidden="false" customHeight="false" outlineLevel="0" collapsed="false">
      <c r="A14" s="7" t="s">
        <v>28</v>
      </c>
      <c r="B14" s="12" t="n">
        <v>46324</v>
      </c>
      <c r="C14" s="13" t="n">
        <v>0.2</v>
      </c>
      <c r="D14" s="5" t="n">
        <f aca="true">MAX(0,B14-TODAY())</f>
        <v>4</v>
      </c>
      <c r="E14" s="5" t="n">
        <f aca="false">COUNTIF(Tarefas!$B$5:$B$200,$A14)</f>
        <v>17</v>
      </c>
      <c r="F14" s="5" t="n">
        <f aca="false">COUNTIFS(Tarefas!$B$5:$B$200,$A14,Tarefas!$G$5:$G$200,$E$5)</f>
        <v>2</v>
      </c>
      <c r="G14" s="5" t="n">
        <f aca="false">COUNTIFS(Tarefas!$B$5:$B$200,$A14,Tarefas!$G$5:$G$200,$F$5)</f>
        <v>10</v>
      </c>
      <c r="H14" s="5" t="n">
        <f aca="false">COUNTIFS(Tarefas!$B$5:$B$200,$A14,Tarefas!$G$5:$G$200,$G$5)</f>
        <v>5</v>
      </c>
    </row>
    <row r="15" customFormat="false" ht="15" hidden="false" customHeight="false" outlineLevel="0" collapsed="false">
      <c r="A15" s="7" t="s">
        <v>29</v>
      </c>
      <c r="B15" s="12" t="n">
        <v>46331</v>
      </c>
      <c r="C15" s="13" t="n">
        <v>0.2</v>
      </c>
      <c r="D15" s="5" t="n">
        <f aca="true">MAX(0,B15-TODAY())</f>
        <v>11</v>
      </c>
      <c r="E15" s="5" t="n">
        <f aca="false">COUNTIF(Tarefas!$B$5:$B$200,$A15)</f>
        <v>13</v>
      </c>
      <c r="F15" s="5" t="n">
        <f aca="false">COUNTIFS(Tarefas!$B$5:$B$200,$A15,Tarefas!$G$5:$G$200,$E$5)</f>
        <v>0</v>
      </c>
      <c r="G15" s="5" t="n">
        <f aca="false">COUNTIFS(Tarefas!$B$5:$B$200,$A15,Tarefas!$G$5:$G$200,$F$5)</f>
        <v>0</v>
      </c>
      <c r="H15" s="5" t="n">
        <f aca="false">COUNTIFS(Tarefas!$B$5:$B$200,$A15,Tarefas!$G$5:$G$200,$G$5)</f>
        <v>13</v>
      </c>
    </row>
    <row r="16" customFormat="false" ht="15" hidden="false" customHeight="false" outlineLevel="0" collapsed="false">
      <c r="A16" s="7" t="s">
        <v>30</v>
      </c>
      <c r="B16" s="12" t="n">
        <v>46338</v>
      </c>
      <c r="C16" s="13" t="n">
        <v>0.2</v>
      </c>
      <c r="D16" s="5" t="n">
        <f aca="true">MAX(0,B16-TODAY())</f>
        <v>18</v>
      </c>
      <c r="E16" s="5" t="n">
        <f aca="false">COUNTIF(Tarefas!$B$5:$B$200,$A16)</f>
        <v>17</v>
      </c>
      <c r="F16" s="5" t="n">
        <f aca="false">COUNTIFS(Tarefas!$B$5:$B$200,$A16,Tarefas!$G$5:$G$200,$E$5)</f>
        <v>0</v>
      </c>
      <c r="G16" s="5" t="n">
        <f aca="false">COUNTIFS(Tarefas!$B$5:$B$200,$A16,Tarefas!$G$5:$G$200,$F$5)</f>
        <v>1</v>
      </c>
      <c r="H16" s="5" t="n">
        <f aca="false">COUNTIFS(Tarefas!$B$5:$B$200,$A16,Tarefas!$G$5:$G$200,$G$5)</f>
        <v>16</v>
      </c>
    </row>
    <row r="17" customFormat="false" ht="15" hidden="false" customHeight="false" outlineLevel="0" collapsed="false">
      <c r="A17" s="7" t="s">
        <v>31</v>
      </c>
      <c r="B17" s="12" t="n">
        <v>46345</v>
      </c>
      <c r="C17" s="13" t="n">
        <v>0.4</v>
      </c>
      <c r="D17" s="5" t="n">
        <f aca="true">MAX(0,B17-TODAY())</f>
        <v>25</v>
      </c>
      <c r="E17" s="5" t="n">
        <f aca="false">COUNTIF(Tarefas!$B$5:$B$200,$A17)</f>
        <v>1</v>
      </c>
      <c r="F17" s="5" t="n">
        <f aca="false">COUNTIFS(Tarefas!$B$5:$B$200,$A17,Tarefas!$G$5:$G$200,$E$5)</f>
        <v>0</v>
      </c>
      <c r="G17" s="5" t="n">
        <f aca="false">COUNTIFS(Tarefas!$B$5:$B$200,$A17,Tarefas!$G$5:$G$200,$F$5)</f>
        <v>0</v>
      </c>
      <c r="H17" s="5" t="n">
        <f aca="false">COUNTIFS(Tarefas!$B$5:$B$200,$A17,Tarefas!$G$5:$G$200,$G$5)</f>
        <v>1</v>
      </c>
    </row>
    <row r="19" customFormat="false" ht="15" hidden="false" customHeight="false" outlineLevel="0" collapsed="false">
      <c r="A19" s="3" t="s">
        <v>32</v>
      </c>
    </row>
    <row r="20" customFormat="false" ht="15" hidden="false" customHeight="false" outlineLevel="0" collapsed="false">
      <c r="A20" s="14" t="s">
        <v>33</v>
      </c>
      <c r="B20" s="15" t="n">
        <f aca="false">SUMIFS(Rubrica!$C$5:$C$15,Rubrica!$B$5:$B$15,"Obrigatório")</f>
        <v>7</v>
      </c>
      <c r="C20" s="2" t="s">
        <v>34</v>
      </c>
    </row>
    <row r="21" customFormat="false" ht="15" hidden="false" customHeight="false" outlineLevel="0" collapsed="false">
      <c r="A21" s="14" t="s">
        <v>35</v>
      </c>
      <c r="B21" s="15" t="n">
        <f aca="false">SUMIFS(Rubrica!$C$5:$C$15,Rubrica!$B$5:$B$15,"Opcional",Rubrica!$D$5:$D$15,"Sim")</f>
        <v>3.5</v>
      </c>
      <c r="C21" s="2" t="s">
        <v>36</v>
      </c>
    </row>
    <row r="22" customFormat="false" ht="15" hidden="false" customHeight="false" outlineLevel="0" collapsed="false">
      <c r="A22" s="14" t="s">
        <v>37</v>
      </c>
      <c r="B22" s="16" t="n">
        <v>3</v>
      </c>
      <c r="C22" s="2" t="s">
        <v>38</v>
      </c>
    </row>
    <row r="23" customFormat="false" ht="15" hidden="false" customHeight="false" outlineLevel="0" collapsed="false">
      <c r="A23" s="14" t="s">
        <v>39</v>
      </c>
      <c r="B23" s="16" t="n">
        <v>10</v>
      </c>
      <c r="C23" s="2" t="s">
        <v>40</v>
      </c>
    </row>
    <row r="24" customFormat="false" ht="15" hidden="false" customHeight="false" outlineLevel="0" collapsed="false">
      <c r="A24" s="14" t="s">
        <v>41</v>
      </c>
      <c r="B24" s="15" t="n">
        <f aca="false">MIN(B23,B20+B21)</f>
        <v>10</v>
      </c>
      <c r="C24" s="2" t="s">
        <v>42</v>
      </c>
    </row>
    <row r="25" customFormat="false" ht="15" hidden="false" customHeight="false" outlineLevel="0" collapsed="false">
      <c r="A25" s="14" t="s">
        <v>43</v>
      </c>
      <c r="B25" s="17" t="str">
        <f aca="false">IF(B21&gt;=B22,"Meta de opcionais coberta","Faltam opcionais")</f>
        <v>Meta de opcionais coberta</v>
      </c>
      <c r="C25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8" t="s">
        <v>45</v>
      </c>
    </row>
    <row r="2" customFormat="false" ht="15" hidden="false" customHeight="false" outlineLevel="0" collapsed="false">
      <c r="A2" s="2" t="s">
        <v>46</v>
      </c>
    </row>
    <row r="4" customFormat="false" ht="23.85" hidden="false" customHeight="fals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</row>
    <row r="5" customFormat="false" ht="23.85" hidden="false" customHeight="false" outlineLevel="0" collapsed="false">
      <c r="A5" s="5" t="s">
        <v>56</v>
      </c>
      <c r="B5" s="5" t="s">
        <v>28</v>
      </c>
      <c r="C5" s="5" t="s">
        <v>14</v>
      </c>
      <c r="D5" s="7" t="s">
        <v>57</v>
      </c>
      <c r="E5" s="7" t="s">
        <v>58</v>
      </c>
      <c r="F5" s="7" t="s">
        <v>59</v>
      </c>
      <c r="G5" s="5" t="s">
        <v>9</v>
      </c>
      <c r="H5" s="5" t="s">
        <v>60</v>
      </c>
      <c r="I5" s="7" t="s">
        <v>61</v>
      </c>
    </row>
    <row r="6" customFormat="false" ht="15" hidden="false" customHeight="false" outlineLevel="0" collapsed="false">
      <c r="A6" s="5" t="s">
        <v>62</v>
      </c>
      <c r="B6" s="5" t="s">
        <v>28</v>
      </c>
      <c r="C6" s="5" t="s">
        <v>11</v>
      </c>
      <c r="D6" s="7" t="s">
        <v>57</v>
      </c>
      <c r="E6" s="7" t="s">
        <v>63</v>
      </c>
      <c r="F6" s="7" t="s">
        <v>64</v>
      </c>
      <c r="G6" s="5" t="s">
        <v>7</v>
      </c>
      <c r="H6" s="5" t="s">
        <v>65</v>
      </c>
      <c r="I6" s="7" t="s">
        <v>66</v>
      </c>
    </row>
    <row r="7" customFormat="false" ht="15" hidden="false" customHeight="false" outlineLevel="0" collapsed="false">
      <c r="A7" s="5" t="s">
        <v>67</v>
      </c>
      <c r="B7" s="5" t="s">
        <v>28</v>
      </c>
      <c r="C7" s="5" t="s">
        <v>17</v>
      </c>
      <c r="D7" s="7" t="s">
        <v>57</v>
      </c>
      <c r="E7" s="7" t="s">
        <v>68</v>
      </c>
      <c r="F7" s="7" t="s">
        <v>69</v>
      </c>
      <c r="G7" s="5" t="s">
        <v>7</v>
      </c>
      <c r="H7" s="5" t="s">
        <v>70</v>
      </c>
      <c r="I7" s="7" t="s">
        <v>71</v>
      </c>
    </row>
    <row r="8" customFormat="false" ht="23.85" hidden="false" customHeight="false" outlineLevel="0" collapsed="false">
      <c r="A8" s="5" t="s">
        <v>72</v>
      </c>
      <c r="B8" s="5" t="s">
        <v>30</v>
      </c>
      <c r="C8" s="5" t="s">
        <v>14</v>
      </c>
      <c r="D8" s="7" t="s">
        <v>57</v>
      </c>
      <c r="E8" s="7" t="s">
        <v>73</v>
      </c>
      <c r="F8" s="7" t="s">
        <v>74</v>
      </c>
      <c r="G8" s="5" t="s">
        <v>8</v>
      </c>
      <c r="H8" s="5" t="s">
        <v>60</v>
      </c>
      <c r="I8" s="7" t="s">
        <v>75</v>
      </c>
    </row>
    <row r="9" customFormat="false" ht="23.85" hidden="false" customHeight="false" outlineLevel="0" collapsed="false">
      <c r="A9" s="5" t="s">
        <v>76</v>
      </c>
      <c r="B9" s="5" t="s">
        <v>30</v>
      </c>
      <c r="C9" s="5" t="s">
        <v>20</v>
      </c>
      <c r="D9" s="7" t="s">
        <v>57</v>
      </c>
      <c r="E9" s="7" t="s">
        <v>77</v>
      </c>
      <c r="F9" s="7" t="s">
        <v>21</v>
      </c>
      <c r="G9" s="5" t="s">
        <v>9</v>
      </c>
      <c r="H9" s="5" t="s">
        <v>60</v>
      </c>
      <c r="I9" s="7" t="s">
        <v>78</v>
      </c>
    </row>
    <row r="10" customFormat="false" ht="23.85" hidden="false" customHeight="false" outlineLevel="0" collapsed="false">
      <c r="A10" s="5" t="s">
        <v>79</v>
      </c>
      <c r="B10" s="5" t="s">
        <v>30</v>
      </c>
      <c r="C10" s="5" t="s">
        <v>20</v>
      </c>
      <c r="D10" s="7" t="s">
        <v>57</v>
      </c>
      <c r="E10" s="7" t="s">
        <v>80</v>
      </c>
      <c r="F10" s="7" t="s">
        <v>21</v>
      </c>
      <c r="G10" s="5" t="s">
        <v>9</v>
      </c>
      <c r="H10" s="5" t="s">
        <v>60</v>
      </c>
      <c r="I10" s="7"/>
    </row>
    <row r="11" customFormat="false" ht="23.85" hidden="false" customHeight="false" outlineLevel="0" collapsed="false">
      <c r="A11" s="5" t="s">
        <v>81</v>
      </c>
      <c r="B11" s="5" t="s">
        <v>28</v>
      </c>
      <c r="C11" s="5" t="s">
        <v>20</v>
      </c>
      <c r="D11" s="7" t="s">
        <v>82</v>
      </c>
      <c r="E11" s="7" t="s">
        <v>83</v>
      </c>
      <c r="F11" s="7" t="s">
        <v>84</v>
      </c>
      <c r="G11" s="5" t="s">
        <v>9</v>
      </c>
      <c r="H11" s="5" t="s">
        <v>60</v>
      </c>
      <c r="I11" s="7" t="s">
        <v>85</v>
      </c>
    </row>
    <row r="12" customFormat="false" ht="23.85" hidden="false" customHeight="false" outlineLevel="0" collapsed="false">
      <c r="A12" s="5" t="s">
        <v>86</v>
      </c>
      <c r="B12" s="5" t="s">
        <v>29</v>
      </c>
      <c r="C12" s="5" t="s">
        <v>20</v>
      </c>
      <c r="D12" s="7" t="s">
        <v>82</v>
      </c>
      <c r="E12" s="7" t="s">
        <v>87</v>
      </c>
      <c r="F12" s="7" t="s">
        <v>84</v>
      </c>
      <c r="G12" s="5" t="s">
        <v>9</v>
      </c>
      <c r="H12" s="5" t="s">
        <v>60</v>
      </c>
      <c r="I12" s="7"/>
    </row>
    <row r="13" customFormat="false" ht="23.85" hidden="false" customHeight="false" outlineLevel="0" collapsed="false">
      <c r="A13" s="5" t="s">
        <v>88</v>
      </c>
      <c r="B13" s="5" t="s">
        <v>30</v>
      </c>
      <c r="C13" s="5" t="s">
        <v>20</v>
      </c>
      <c r="D13" s="7" t="s">
        <v>82</v>
      </c>
      <c r="E13" s="7" t="s">
        <v>89</v>
      </c>
      <c r="F13" s="7" t="s">
        <v>84</v>
      </c>
      <c r="G13" s="5" t="s">
        <v>9</v>
      </c>
      <c r="H13" s="5" t="s">
        <v>60</v>
      </c>
      <c r="I13" s="7"/>
    </row>
    <row r="14" customFormat="false" ht="23.85" hidden="false" customHeight="false" outlineLevel="0" collapsed="false">
      <c r="A14" s="5" t="s">
        <v>90</v>
      </c>
      <c r="B14" s="5" t="s">
        <v>30</v>
      </c>
      <c r="C14" s="5" t="s">
        <v>20</v>
      </c>
      <c r="D14" s="7" t="s">
        <v>82</v>
      </c>
      <c r="E14" s="7" t="s">
        <v>91</v>
      </c>
      <c r="F14" s="7" t="s">
        <v>92</v>
      </c>
      <c r="G14" s="5" t="s">
        <v>9</v>
      </c>
      <c r="H14" s="5" t="s">
        <v>60</v>
      </c>
      <c r="I14" s="7"/>
    </row>
    <row r="15" customFormat="false" ht="23.85" hidden="false" customHeight="false" outlineLevel="0" collapsed="false">
      <c r="A15" s="5" t="s">
        <v>93</v>
      </c>
      <c r="B15" s="5" t="s">
        <v>31</v>
      </c>
      <c r="C15" s="5" t="s">
        <v>20</v>
      </c>
      <c r="D15" s="7" t="s">
        <v>82</v>
      </c>
      <c r="E15" s="7" t="s">
        <v>94</v>
      </c>
      <c r="F15" s="7" t="s">
        <v>21</v>
      </c>
      <c r="G15" s="5" t="s">
        <v>9</v>
      </c>
      <c r="H15" s="5" t="s">
        <v>60</v>
      </c>
      <c r="I15" s="7" t="s">
        <v>95</v>
      </c>
    </row>
    <row r="16" customFormat="false" ht="15" hidden="false" customHeight="false" outlineLevel="0" collapsed="false">
      <c r="A16" s="5" t="s">
        <v>96</v>
      </c>
      <c r="B16" s="5" t="s">
        <v>28</v>
      </c>
      <c r="C16" s="5" t="s">
        <v>11</v>
      </c>
      <c r="D16" s="7" t="s">
        <v>13</v>
      </c>
      <c r="E16" s="7" t="s">
        <v>97</v>
      </c>
      <c r="F16" s="7" t="s">
        <v>98</v>
      </c>
      <c r="G16" s="5" t="s">
        <v>8</v>
      </c>
      <c r="H16" s="5" t="s">
        <v>60</v>
      </c>
      <c r="I16" s="7" t="s">
        <v>99</v>
      </c>
    </row>
    <row r="17" customFormat="false" ht="15" hidden="false" customHeight="false" outlineLevel="0" collapsed="false">
      <c r="A17" s="5" t="s">
        <v>100</v>
      </c>
      <c r="B17" s="5" t="s">
        <v>28</v>
      </c>
      <c r="C17" s="5" t="s">
        <v>11</v>
      </c>
      <c r="D17" s="7" t="s">
        <v>13</v>
      </c>
      <c r="E17" s="7" t="s">
        <v>101</v>
      </c>
      <c r="F17" s="7" t="s">
        <v>98</v>
      </c>
      <c r="G17" s="5" t="s">
        <v>8</v>
      </c>
      <c r="H17" s="5" t="s">
        <v>60</v>
      </c>
      <c r="I17" s="7" t="s">
        <v>102</v>
      </c>
    </row>
    <row r="18" customFormat="false" ht="15" hidden="false" customHeight="false" outlineLevel="0" collapsed="false">
      <c r="A18" s="5" t="s">
        <v>103</v>
      </c>
      <c r="B18" s="5" t="s">
        <v>28</v>
      </c>
      <c r="C18" s="5" t="s">
        <v>11</v>
      </c>
      <c r="D18" s="7" t="s">
        <v>13</v>
      </c>
      <c r="E18" s="7" t="s">
        <v>104</v>
      </c>
      <c r="F18" s="7" t="s">
        <v>98</v>
      </c>
      <c r="G18" s="5" t="s">
        <v>8</v>
      </c>
      <c r="H18" s="5" t="s">
        <v>65</v>
      </c>
      <c r="I18" s="7"/>
    </row>
    <row r="19" customFormat="false" ht="15" hidden="false" customHeight="false" outlineLevel="0" collapsed="false">
      <c r="A19" s="5" t="s">
        <v>105</v>
      </c>
      <c r="B19" s="5" t="s">
        <v>28</v>
      </c>
      <c r="C19" s="5" t="s">
        <v>11</v>
      </c>
      <c r="D19" s="7" t="s">
        <v>106</v>
      </c>
      <c r="E19" s="7" t="s">
        <v>107</v>
      </c>
      <c r="F19" s="7" t="s">
        <v>98</v>
      </c>
      <c r="G19" s="5" t="s">
        <v>8</v>
      </c>
      <c r="H19" s="5" t="s">
        <v>60</v>
      </c>
      <c r="I19" s="7" t="s">
        <v>108</v>
      </c>
    </row>
    <row r="20" customFormat="false" ht="23.85" hidden="false" customHeight="false" outlineLevel="0" collapsed="false">
      <c r="A20" s="5" t="s">
        <v>109</v>
      </c>
      <c r="B20" s="5" t="s">
        <v>28</v>
      </c>
      <c r="C20" s="5" t="s">
        <v>11</v>
      </c>
      <c r="D20" s="7" t="s">
        <v>110</v>
      </c>
      <c r="E20" s="7" t="s">
        <v>111</v>
      </c>
      <c r="F20" s="7" t="s">
        <v>98</v>
      </c>
      <c r="G20" s="5" t="s">
        <v>8</v>
      </c>
      <c r="H20" s="5" t="s">
        <v>60</v>
      </c>
      <c r="I20" s="7" t="s">
        <v>112</v>
      </c>
    </row>
    <row r="21" customFormat="false" ht="15" hidden="false" customHeight="false" outlineLevel="0" collapsed="false">
      <c r="A21" s="5" t="s">
        <v>113</v>
      </c>
      <c r="B21" s="5" t="s">
        <v>28</v>
      </c>
      <c r="C21" s="5" t="s">
        <v>11</v>
      </c>
      <c r="D21" s="7" t="s">
        <v>106</v>
      </c>
      <c r="E21" s="7" t="s">
        <v>114</v>
      </c>
      <c r="F21" s="7" t="s">
        <v>98</v>
      </c>
      <c r="G21" s="5" t="s">
        <v>9</v>
      </c>
      <c r="H21" s="5" t="s">
        <v>60</v>
      </c>
      <c r="I21" s="7" t="s">
        <v>115</v>
      </c>
    </row>
    <row r="22" customFormat="false" ht="23.85" hidden="false" customHeight="false" outlineLevel="0" collapsed="false">
      <c r="A22" s="5" t="s">
        <v>116</v>
      </c>
      <c r="B22" s="5" t="s">
        <v>29</v>
      </c>
      <c r="C22" s="5" t="s">
        <v>11</v>
      </c>
      <c r="D22" s="7" t="s">
        <v>110</v>
      </c>
      <c r="E22" s="7" t="s">
        <v>117</v>
      </c>
      <c r="F22" s="7" t="s">
        <v>98</v>
      </c>
      <c r="G22" s="5" t="s">
        <v>9</v>
      </c>
      <c r="H22" s="5" t="s">
        <v>65</v>
      </c>
      <c r="I22" s="7"/>
    </row>
    <row r="23" customFormat="false" ht="15" hidden="false" customHeight="false" outlineLevel="0" collapsed="false">
      <c r="A23" s="5" t="s">
        <v>118</v>
      </c>
      <c r="B23" s="5" t="s">
        <v>29</v>
      </c>
      <c r="C23" s="5" t="s">
        <v>11</v>
      </c>
      <c r="D23" s="7" t="s">
        <v>13</v>
      </c>
      <c r="E23" s="7" t="s">
        <v>119</v>
      </c>
      <c r="F23" s="7" t="s">
        <v>98</v>
      </c>
      <c r="G23" s="5" t="s">
        <v>9</v>
      </c>
      <c r="H23" s="5" t="s">
        <v>65</v>
      </c>
      <c r="I23" s="7" t="s">
        <v>120</v>
      </c>
    </row>
    <row r="24" customFormat="false" ht="23.85" hidden="false" customHeight="false" outlineLevel="0" collapsed="false">
      <c r="A24" s="5" t="s">
        <v>121</v>
      </c>
      <c r="B24" s="5" t="s">
        <v>29</v>
      </c>
      <c r="C24" s="5" t="s">
        <v>11</v>
      </c>
      <c r="D24" s="7" t="s">
        <v>122</v>
      </c>
      <c r="E24" s="7" t="s">
        <v>123</v>
      </c>
      <c r="F24" s="7" t="s">
        <v>124</v>
      </c>
      <c r="G24" s="5" t="s">
        <v>9</v>
      </c>
      <c r="H24" s="5" t="s">
        <v>65</v>
      </c>
      <c r="I24" s="7" t="s">
        <v>125</v>
      </c>
    </row>
    <row r="25" customFormat="false" ht="23.85" hidden="false" customHeight="false" outlineLevel="0" collapsed="false">
      <c r="A25" s="5" t="s">
        <v>126</v>
      </c>
      <c r="B25" s="5" t="s">
        <v>29</v>
      </c>
      <c r="C25" s="5" t="s">
        <v>11</v>
      </c>
      <c r="D25" s="7" t="s">
        <v>127</v>
      </c>
      <c r="E25" s="7" t="s">
        <v>128</v>
      </c>
      <c r="F25" s="7" t="s">
        <v>98</v>
      </c>
      <c r="G25" s="5" t="s">
        <v>9</v>
      </c>
      <c r="H25" s="5" t="s">
        <v>65</v>
      </c>
      <c r="I25" s="7" t="s">
        <v>129</v>
      </c>
    </row>
    <row r="26" customFormat="false" ht="23.85" hidden="false" customHeight="false" outlineLevel="0" collapsed="false">
      <c r="A26" s="5" t="s">
        <v>130</v>
      </c>
      <c r="B26" s="5" t="s">
        <v>30</v>
      </c>
      <c r="C26" s="5" t="s">
        <v>11</v>
      </c>
      <c r="D26" s="7" t="s">
        <v>131</v>
      </c>
      <c r="E26" s="7" t="s">
        <v>132</v>
      </c>
      <c r="F26" s="7" t="s">
        <v>98</v>
      </c>
      <c r="G26" s="5" t="s">
        <v>9</v>
      </c>
      <c r="H26" s="5" t="s">
        <v>60</v>
      </c>
      <c r="I26" s="7" t="s">
        <v>133</v>
      </c>
    </row>
    <row r="27" customFormat="false" ht="15" hidden="false" customHeight="false" outlineLevel="0" collapsed="false">
      <c r="A27" s="5" t="s">
        <v>134</v>
      </c>
      <c r="B27" s="5" t="s">
        <v>30</v>
      </c>
      <c r="C27" s="5" t="s">
        <v>11</v>
      </c>
      <c r="D27" s="7" t="s">
        <v>131</v>
      </c>
      <c r="E27" s="7" t="s">
        <v>135</v>
      </c>
      <c r="F27" s="7" t="s">
        <v>98</v>
      </c>
      <c r="G27" s="5" t="s">
        <v>9</v>
      </c>
      <c r="H27" s="5" t="s">
        <v>60</v>
      </c>
      <c r="I27" s="7" t="s">
        <v>136</v>
      </c>
    </row>
    <row r="28" customFormat="false" ht="23.85" hidden="false" customHeight="false" outlineLevel="0" collapsed="false">
      <c r="A28" s="5" t="s">
        <v>137</v>
      </c>
      <c r="B28" s="5" t="s">
        <v>30</v>
      </c>
      <c r="C28" s="5" t="s">
        <v>11</v>
      </c>
      <c r="D28" s="7" t="s">
        <v>127</v>
      </c>
      <c r="E28" s="7" t="s">
        <v>138</v>
      </c>
      <c r="F28" s="7" t="s">
        <v>98</v>
      </c>
      <c r="G28" s="5" t="s">
        <v>9</v>
      </c>
      <c r="H28" s="5" t="s">
        <v>65</v>
      </c>
      <c r="I28" s="7"/>
    </row>
    <row r="29" customFormat="false" ht="15" hidden="false" customHeight="false" outlineLevel="0" collapsed="false">
      <c r="A29" s="5" t="s">
        <v>139</v>
      </c>
      <c r="B29" s="5" t="s">
        <v>30</v>
      </c>
      <c r="C29" s="5" t="s">
        <v>11</v>
      </c>
      <c r="D29" s="7" t="s">
        <v>13</v>
      </c>
      <c r="E29" s="7" t="s">
        <v>140</v>
      </c>
      <c r="F29" s="7" t="s">
        <v>21</v>
      </c>
      <c r="G29" s="5" t="s">
        <v>9</v>
      </c>
      <c r="H29" s="5" t="s">
        <v>60</v>
      </c>
      <c r="I29" s="7" t="s">
        <v>141</v>
      </c>
    </row>
    <row r="30" customFormat="false" ht="15" hidden="false" customHeight="false" outlineLevel="0" collapsed="false">
      <c r="A30" s="5" t="s">
        <v>142</v>
      </c>
      <c r="B30" s="5" t="s">
        <v>30</v>
      </c>
      <c r="C30" s="5" t="s">
        <v>11</v>
      </c>
      <c r="D30" s="7" t="s">
        <v>13</v>
      </c>
      <c r="E30" s="7" t="s">
        <v>143</v>
      </c>
      <c r="F30" s="7" t="s">
        <v>98</v>
      </c>
      <c r="G30" s="5" t="s">
        <v>9</v>
      </c>
      <c r="H30" s="5" t="s">
        <v>70</v>
      </c>
      <c r="I30" s="7"/>
    </row>
    <row r="31" customFormat="false" ht="23.85" hidden="false" customHeight="false" outlineLevel="0" collapsed="false">
      <c r="A31" s="5" t="s">
        <v>144</v>
      </c>
      <c r="B31" s="5" t="s">
        <v>28</v>
      </c>
      <c r="C31" s="5" t="s">
        <v>14</v>
      </c>
      <c r="D31" s="7" t="s">
        <v>145</v>
      </c>
      <c r="E31" s="7" t="s">
        <v>146</v>
      </c>
      <c r="F31" s="7" t="s">
        <v>147</v>
      </c>
      <c r="G31" s="5" t="s">
        <v>8</v>
      </c>
      <c r="H31" s="5" t="s">
        <v>60</v>
      </c>
      <c r="I31" s="7" t="s">
        <v>148</v>
      </c>
    </row>
    <row r="32" customFormat="false" ht="15" hidden="false" customHeight="false" outlineLevel="0" collapsed="false">
      <c r="A32" s="5" t="s">
        <v>149</v>
      </c>
      <c r="B32" s="5" t="s">
        <v>28</v>
      </c>
      <c r="C32" s="5" t="s">
        <v>14</v>
      </c>
      <c r="D32" s="7" t="s">
        <v>150</v>
      </c>
      <c r="E32" s="7" t="s">
        <v>151</v>
      </c>
      <c r="F32" s="7" t="s">
        <v>147</v>
      </c>
      <c r="G32" s="5" t="s">
        <v>8</v>
      </c>
      <c r="H32" s="5" t="s">
        <v>60</v>
      </c>
      <c r="I32" s="7" t="s">
        <v>152</v>
      </c>
    </row>
    <row r="33" customFormat="false" ht="15" hidden="false" customHeight="false" outlineLevel="0" collapsed="false">
      <c r="A33" s="5" t="s">
        <v>153</v>
      </c>
      <c r="B33" s="5" t="s">
        <v>28</v>
      </c>
      <c r="C33" s="5" t="s">
        <v>14</v>
      </c>
      <c r="D33" s="7" t="s">
        <v>150</v>
      </c>
      <c r="E33" s="7" t="s">
        <v>154</v>
      </c>
      <c r="F33" s="7" t="s">
        <v>147</v>
      </c>
      <c r="G33" s="5" t="s">
        <v>8</v>
      </c>
      <c r="H33" s="5" t="s">
        <v>65</v>
      </c>
      <c r="I33" s="7" t="s">
        <v>155</v>
      </c>
    </row>
    <row r="34" customFormat="false" ht="15" hidden="false" customHeight="false" outlineLevel="0" collapsed="false">
      <c r="A34" s="5" t="s">
        <v>156</v>
      </c>
      <c r="B34" s="5" t="s">
        <v>28</v>
      </c>
      <c r="C34" s="5" t="s">
        <v>14</v>
      </c>
      <c r="D34" s="7" t="s">
        <v>150</v>
      </c>
      <c r="E34" s="7" t="s">
        <v>157</v>
      </c>
      <c r="F34" s="7" t="s">
        <v>147</v>
      </c>
      <c r="G34" s="5" t="s">
        <v>8</v>
      </c>
      <c r="H34" s="5" t="s">
        <v>60</v>
      </c>
      <c r="I34" s="7"/>
    </row>
    <row r="35" customFormat="false" ht="23.85" hidden="false" customHeight="false" outlineLevel="0" collapsed="false">
      <c r="A35" s="5" t="s">
        <v>158</v>
      </c>
      <c r="B35" s="5" t="s">
        <v>28</v>
      </c>
      <c r="C35" s="5" t="s">
        <v>14</v>
      </c>
      <c r="D35" s="7" t="s">
        <v>150</v>
      </c>
      <c r="E35" s="7" t="s">
        <v>159</v>
      </c>
      <c r="F35" s="7" t="s">
        <v>147</v>
      </c>
      <c r="G35" s="5" t="s">
        <v>8</v>
      </c>
      <c r="H35" s="5" t="s">
        <v>65</v>
      </c>
      <c r="I35" s="7" t="s">
        <v>160</v>
      </c>
    </row>
    <row r="36" customFormat="false" ht="23.85" hidden="false" customHeight="false" outlineLevel="0" collapsed="false">
      <c r="A36" s="5" t="s">
        <v>161</v>
      </c>
      <c r="B36" s="5" t="s">
        <v>29</v>
      </c>
      <c r="C36" s="5" t="s">
        <v>14</v>
      </c>
      <c r="D36" s="7" t="s">
        <v>127</v>
      </c>
      <c r="E36" s="7" t="s">
        <v>162</v>
      </c>
      <c r="F36" s="7" t="s">
        <v>163</v>
      </c>
      <c r="G36" s="5" t="s">
        <v>9</v>
      </c>
      <c r="H36" s="5" t="s">
        <v>60</v>
      </c>
      <c r="I36" s="7" t="s">
        <v>164</v>
      </c>
    </row>
    <row r="37" customFormat="false" ht="23.85" hidden="false" customHeight="false" outlineLevel="0" collapsed="false">
      <c r="A37" s="5" t="s">
        <v>165</v>
      </c>
      <c r="B37" s="5" t="s">
        <v>29</v>
      </c>
      <c r="C37" s="5" t="s">
        <v>14</v>
      </c>
      <c r="D37" s="7" t="s">
        <v>127</v>
      </c>
      <c r="E37" s="7" t="s">
        <v>166</v>
      </c>
      <c r="F37" s="7" t="s">
        <v>147</v>
      </c>
      <c r="G37" s="5" t="s">
        <v>9</v>
      </c>
      <c r="H37" s="5" t="s">
        <v>65</v>
      </c>
      <c r="I37" s="7"/>
    </row>
    <row r="38" customFormat="false" ht="23.85" hidden="false" customHeight="false" outlineLevel="0" collapsed="false">
      <c r="A38" s="5" t="s">
        <v>167</v>
      </c>
      <c r="B38" s="5" t="s">
        <v>29</v>
      </c>
      <c r="C38" s="5" t="s">
        <v>14</v>
      </c>
      <c r="D38" s="7" t="s">
        <v>110</v>
      </c>
      <c r="E38" s="7" t="s">
        <v>168</v>
      </c>
      <c r="F38" s="7" t="s">
        <v>147</v>
      </c>
      <c r="G38" s="5" t="s">
        <v>9</v>
      </c>
      <c r="H38" s="5" t="s">
        <v>60</v>
      </c>
      <c r="I38" s="7" t="s">
        <v>169</v>
      </c>
    </row>
    <row r="39" customFormat="false" ht="23.85" hidden="false" customHeight="false" outlineLevel="0" collapsed="false">
      <c r="A39" s="5" t="s">
        <v>170</v>
      </c>
      <c r="B39" s="5" t="s">
        <v>29</v>
      </c>
      <c r="C39" s="5" t="s">
        <v>14</v>
      </c>
      <c r="D39" s="7" t="s">
        <v>150</v>
      </c>
      <c r="E39" s="7" t="s">
        <v>171</v>
      </c>
      <c r="F39" s="7" t="s">
        <v>147</v>
      </c>
      <c r="G39" s="5" t="s">
        <v>9</v>
      </c>
      <c r="H39" s="5" t="s">
        <v>70</v>
      </c>
      <c r="I39" s="7" t="s">
        <v>172</v>
      </c>
    </row>
    <row r="40" customFormat="false" ht="23.85" hidden="false" customHeight="false" outlineLevel="0" collapsed="false">
      <c r="A40" s="5" t="s">
        <v>173</v>
      </c>
      <c r="B40" s="5" t="s">
        <v>30</v>
      </c>
      <c r="C40" s="5" t="s">
        <v>14</v>
      </c>
      <c r="D40" s="7" t="s">
        <v>127</v>
      </c>
      <c r="E40" s="7" t="s">
        <v>174</v>
      </c>
      <c r="F40" s="7" t="s">
        <v>163</v>
      </c>
      <c r="G40" s="5" t="s">
        <v>9</v>
      </c>
      <c r="H40" s="5" t="s">
        <v>65</v>
      </c>
      <c r="I40" s="7"/>
    </row>
    <row r="41" customFormat="false" ht="23.85" hidden="false" customHeight="false" outlineLevel="0" collapsed="false">
      <c r="A41" s="5" t="s">
        <v>175</v>
      </c>
      <c r="B41" s="5" t="s">
        <v>30</v>
      </c>
      <c r="C41" s="5" t="s">
        <v>14</v>
      </c>
      <c r="D41" s="7" t="s">
        <v>122</v>
      </c>
      <c r="E41" s="7" t="s">
        <v>176</v>
      </c>
      <c r="F41" s="7" t="s">
        <v>147</v>
      </c>
      <c r="G41" s="5" t="s">
        <v>9</v>
      </c>
      <c r="H41" s="5" t="s">
        <v>65</v>
      </c>
      <c r="I41" s="7"/>
    </row>
    <row r="42" customFormat="false" ht="23.85" hidden="false" customHeight="false" outlineLevel="0" collapsed="false">
      <c r="A42" s="5" t="s">
        <v>177</v>
      </c>
      <c r="B42" s="5" t="s">
        <v>28</v>
      </c>
      <c r="C42" s="5" t="s">
        <v>17</v>
      </c>
      <c r="D42" s="7" t="s">
        <v>178</v>
      </c>
      <c r="E42" s="7" t="s">
        <v>179</v>
      </c>
      <c r="F42" s="7" t="s">
        <v>180</v>
      </c>
      <c r="G42" s="5" t="s">
        <v>9</v>
      </c>
      <c r="H42" s="5" t="s">
        <v>60</v>
      </c>
      <c r="I42" s="7" t="s">
        <v>181</v>
      </c>
    </row>
    <row r="43" customFormat="false" ht="23.85" hidden="false" customHeight="false" outlineLevel="0" collapsed="false">
      <c r="A43" s="5" t="s">
        <v>182</v>
      </c>
      <c r="B43" s="5" t="s">
        <v>28</v>
      </c>
      <c r="C43" s="5" t="s">
        <v>17</v>
      </c>
      <c r="D43" s="7" t="s">
        <v>178</v>
      </c>
      <c r="E43" s="7" t="s">
        <v>183</v>
      </c>
      <c r="F43" s="7" t="s">
        <v>180</v>
      </c>
      <c r="G43" s="5" t="s">
        <v>9</v>
      </c>
      <c r="H43" s="5" t="s">
        <v>60</v>
      </c>
      <c r="I43" s="7" t="s">
        <v>184</v>
      </c>
    </row>
    <row r="44" customFormat="false" ht="23.85" hidden="false" customHeight="false" outlineLevel="0" collapsed="false">
      <c r="A44" s="5" t="s">
        <v>185</v>
      </c>
      <c r="B44" s="5" t="s">
        <v>29</v>
      </c>
      <c r="C44" s="5" t="s">
        <v>17</v>
      </c>
      <c r="D44" s="7" t="s">
        <v>178</v>
      </c>
      <c r="E44" s="7" t="s">
        <v>186</v>
      </c>
      <c r="F44" s="7" t="s">
        <v>180</v>
      </c>
      <c r="G44" s="5" t="s">
        <v>9</v>
      </c>
      <c r="H44" s="5" t="s">
        <v>60</v>
      </c>
      <c r="I44" s="7"/>
    </row>
    <row r="45" customFormat="false" ht="15" hidden="false" customHeight="false" outlineLevel="0" collapsed="false">
      <c r="A45" s="5" t="s">
        <v>187</v>
      </c>
      <c r="B45" s="5" t="s">
        <v>29</v>
      </c>
      <c r="C45" s="5" t="s">
        <v>17</v>
      </c>
      <c r="D45" s="7" t="s">
        <v>57</v>
      </c>
      <c r="E45" s="7" t="s">
        <v>188</v>
      </c>
      <c r="F45" s="7" t="s">
        <v>180</v>
      </c>
      <c r="G45" s="5" t="s">
        <v>9</v>
      </c>
      <c r="H45" s="5" t="s">
        <v>60</v>
      </c>
      <c r="I45" s="7" t="s">
        <v>189</v>
      </c>
    </row>
    <row r="46" customFormat="false" ht="23.85" hidden="false" customHeight="false" outlineLevel="0" collapsed="false">
      <c r="A46" s="5" t="s">
        <v>190</v>
      </c>
      <c r="B46" s="5" t="s">
        <v>29</v>
      </c>
      <c r="C46" s="5" t="s">
        <v>17</v>
      </c>
      <c r="D46" s="7" t="s">
        <v>178</v>
      </c>
      <c r="E46" s="7" t="s">
        <v>191</v>
      </c>
      <c r="F46" s="7" t="s">
        <v>98</v>
      </c>
      <c r="G46" s="5" t="s">
        <v>9</v>
      </c>
      <c r="H46" s="5" t="s">
        <v>60</v>
      </c>
      <c r="I46" s="7" t="s">
        <v>192</v>
      </c>
    </row>
    <row r="47" customFormat="false" ht="23.85" hidden="false" customHeight="false" outlineLevel="0" collapsed="false">
      <c r="A47" s="5" t="s">
        <v>193</v>
      </c>
      <c r="B47" s="5" t="s">
        <v>29</v>
      </c>
      <c r="C47" s="5" t="s">
        <v>17</v>
      </c>
      <c r="D47" s="7" t="s">
        <v>145</v>
      </c>
      <c r="E47" s="7" t="s">
        <v>194</v>
      </c>
      <c r="F47" s="7" t="s">
        <v>195</v>
      </c>
      <c r="G47" s="5" t="s">
        <v>9</v>
      </c>
      <c r="H47" s="5" t="s">
        <v>60</v>
      </c>
      <c r="I47" s="7"/>
    </row>
    <row r="48" customFormat="false" ht="15" hidden="false" customHeight="false" outlineLevel="0" collapsed="false">
      <c r="A48" s="5" t="s">
        <v>196</v>
      </c>
      <c r="B48" s="5" t="s">
        <v>30</v>
      </c>
      <c r="C48" s="5" t="s">
        <v>17</v>
      </c>
      <c r="D48" s="7" t="s">
        <v>131</v>
      </c>
      <c r="E48" s="7" t="s">
        <v>197</v>
      </c>
      <c r="F48" s="7" t="s">
        <v>195</v>
      </c>
      <c r="G48" s="5" t="s">
        <v>9</v>
      </c>
      <c r="H48" s="5" t="s">
        <v>60</v>
      </c>
      <c r="I48" s="7"/>
    </row>
    <row r="49" customFormat="false" ht="15" hidden="false" customHeight="false" outlineLevel="0" collapsed="false">
      <c r="A49" s="5" t="s">
        <v>198</v>
      </c>
      <c r="B49" s="5" t="s">
        <v>30</v>
      </c>
      <c r="C49" s="5" t="s">
        <v>17</v>
      </c>
      <c r="D49" s="7" t="s">
        <v>131</v>
      </c>
      <c r="E49" s="7" t="s">
        <v>199</v>
      </c>
      <c r="F49" s="7" t="s">
        <v>195</v>
      </c>
      <c r="G49" s="5" t="s">
        <v>9</v>
      </c>
      <c r="H49" s="5" t="s">
        <v>60</v>
      </c>
      <c r="I49" s="7"/>
    </row>
    <row r="50" customFormat="false" ht="15" hidden="false" customHeight="false" outlineLevel="0" collapsed="false">
      <c r="A50" s="5" t="s">
        <v>200</v>
      </c>
      <c r="B50" s="5" t="s">
        <v>30</v>
      </c>
      <c r="C50" s="5" t="s">
        <v>17</v>
      </c>
      <c r="D50" s="7" t="s">
        <v>131</v>
      </c>
      <c r="E50" s="7" t="s">
        <v>201</v>
      </c>
      <c r="F50" s="7" t="s">
        <v>195</v>
      </c>
      <c r="G50" s="5" t="s">
        <v>9</v>
      </c>
      <c r="H50" s="5" t="s">
        <v>65</v>
      </c>
      <c r="I50" s="7"/>
    </row>
    <row r="51" customFormat="false" ht="15" hidden="false" customHeight="false" outlineLevel="0" collapsed="false">
      <c r="A51" s="5" t="s">
        <v>202</v>
      </c>
      <c r="B51" s="5" t="s">
        <v>30</v>
      </c>
      <c r="C51" s="5" t="s">
        <v>17</v>
      </c>
      <c r="D51" s="7" t="s">
        <v>131</v>
      </c>
      <c r="E51" s="7" t="s">
        <v>203</v>
      </c>
      <c r="F51" s="7" t="s">
        <v>195</v>
      </c>
      <c r="G51" s="5" t="s">
        <v>9</v>
      </c>
      <c r="H51" s="5" t="s">
        <v>65</v>
      </c>
      <c r="I51" s="7"/>
    </row>
    <row r="52" customFormat="false" ht="23.85" hidden="false" customHeight="false" outlineLevel="0" collapsed="false">
      <c r="A52" s="5" t="s">
        <v>204</v>
      </c>
      <c r="B52" s="5" t="s">
        <v>30</v>
      </c>
      <c r="C52" s="5" t="s">
        <v>17</v>
      </c>
      <c r="D52" s="7" t="s">
        <v>127</v>
      </c>
      <c r="E52" s="7" t="s">
        <v>205</v>
      </c>
      <c r="F52" s="7" t="s">
        <v>206</v>
      </c>
      <c r="G52" s="5" t="s">
        <v>9</v>
      </c>
      <c r="H52" s="5" t="s">
        <v>60</v>
      </c>
      <c r="I52" s="7"/>
    </row>
  </sheetData>
  <autoFilter ref="A4:I52"/>
  <conditionalFormatting sqref="G5:G200">
    <cfRule type="expression" priority="2" aboveAverage="0" equalAverage="0" bottom="0" percent="0" rank="0" text="" dxfId="6">
      <formula>$G5="Feito"</formula>
    </cfRule>
    <cfRule type="expression" priority="3" aboveAverage="0" equalAverage="0" bottom="0" percent="0" rank="0" text="" dxfId="7">
      <formula>$G5="Revisar e ajustar"</formula>
    </cfRule>
    <cfRule type="expression" priority="4" aboveAverage="0" equalAverage="0" bottom="0" percent="0" rank="0" text="" dxfId="8">
      <formula>$G5="A fazer"</formula>
    </cfRule>
  </conditionalFormatting>
  <dataValidations count="4">
    <dataValidation allowBlank="true" errorStyle="stop" operator="between" showDropDown="false" showErrorMessage="false" showInputMessage="false" sqref="B5:B200" type="list">
      <formula1>"Sprint 1,Sprint 2,Sprint 3,Final"</formula1>
      <formula2>0</formula2>
    </dataValidation>
    <dataValidation allowBlank="true" errorStyle="stop" operator="between" showDropDown="false" showErrorMessage="false" showInputMessage="false" sqref="C5:C200" type="list">
      <formula1>"P1,P2,P3,Todos"</formula1>
      <formula2>0</formula2>
    </dataValidation>
    <dataValidation allowBlank="true" errorStyle="stop" operator="between" showDropDown="false" showErrorMessage="false" showInputMessage="false" sqref="G5:G200" type="list">
      <formula1>"Feito,Revisar e ajustar,A fazer"</formula1>
      <formula2>0</formula2>
    </dataValidation>
    <dataValidation allowBlank="true" errorStyle="stop" operator="between" showDropDown="false" showErrorMessage="false" showInputMessage="false" sqref="H5:H200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7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8" t="s">
        <v>207</v>
      </c>
    </row>
    <row r="2" customFormat="false" ht="15" hidden="false" customHeight="false" outlineLevel="0" collapsed="false">
      <c r="A2" s="19" t="s">
        <v>208</v>
      </c>
      <c r="F2" s="20" t="n">
        <v>0.5</v>
      </c>
      <c r="G2" s="2" t="s">
        <v>209</v>
      </c>
    </row>
    <row r="4" customFormat="false" ht="15" hidden="false" customHeight="false" outlineLevel="0" collapsed="false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215</v>
      </c>
      <c r="G4" s="4" t="s">
        <v>7</v>
      </c>
      <c r="H4" s="4" t="s">
        <v>8</v>
      </c>
      <c r="I4" s="4" t="s">
        <v>9</v>
      </c>
      <c r="J4" s="4" t="s">
        <v>216</v>
      </c>
      <c r="K4" s="4" t="s">
        <v>217</v>
      </c>
    </row>
    <row r="5" customFormat="false" ht="23.85" hidden="false" customHeight="false" outlineLevel="0" collapsed="false">
      <c r="A5" s="7" t="s">
        <v>106</v>
      </c>
      <c r="B5" s="5" t="s">
        <v>218</v>
      </c>
      <c r="C5" s="21" t="n">
        <v>1</v>
      </c>
      <c r="D5" s="22" t="s">
        <v>219</v>
      </c>
      <c r="E5" s="5" t="s">
        <v>11</v>
      </c>
      <c r="F5" s="5" t="n">
        <f aca="false">COUNTIF(Tarefas!$D$5:$D$200,$A5)</f>
        <v>2</v>
      </c>
      <c r="G5" s="5" t="n">
        <f aca="false">COUNTIFS(Tarefas!$D$5:$D$200,$A5,Tarefas!$G$5:$G$200,G$4)</f>
        <v>0</v>
      </c>
      <c r="H5" s="5" t="n">
        <f aca="false">COUNTIFS(Tarefas!$D$5:$D$200,$A5,Tarefas!$G$5:$G$200,H$4)</f>
        <v>1</v>
      </c>
      <c r="I5" s="5" t="n">
        <f aca="false">COUNTIFS(Tarefas!$D$5:$D$200,$A5,Tarefas!$G$5:$G$200,I$4)</f>
        <v>1</v>
      </c>
      <c r="J5" s="8" t="n">
        <f aca="false">IF(F5=0,"—",(G5+$F$2*H5)/F5)</f>
        <v>0.25</v>
      </c>
      <c r="K5" s="7" t="s">
        <v>220</v>
      </c>
    </row>
    <row r="6" customFormat="false" ht="15" hidden="false" customHeight="false" outlineLevel="0" collapsed="false">
      <c r="A6" s="7" t="s">
        <v>150</v>
      </c>
      <c r="B6" s="5" t="s">
        <v>218</v>
      </c>
      <c r="C6" s="21" t="n">
        <v>1.5</v>
      </c>
      <c r="D6" s="22" t="s">
        <v>219</v>
      </c>
      <c r="E6" s="5" t="s">
        <v>14</v>
      </c>
      <c r="F6" s="5" t="n">
        <f aca="false">COUNTIF(Tarefas!$D$5:$D$200,$A6)</f>
        <v>5</v>
      </c>
      <c r="G6" s="5" t="n">
        <f aca="false">COUNTIFS(Tarefas!$D$5:$D$200,$A6,Tarefas!$G$5:$G$200,G$4)</f>
        <v>0</v>
      </c>
      <c r="H6" s="5" t="n">
        <f aca="false">COUNTIFS(Tarefas!$D$5:$D$200,$A6,Tarefas!$G$5:$G$200,H$4)</f>
        <v>4</v>
      </c>
      <c r="I6" s="5" t="n">
        <f aca="false">COUNTIFS(Tarefas!$D$5:$D$200,$A6,Tarefas!$G$5:$G$200,I$4)</f>
        <v>1</v>
      </c>
      <c r="J6" s="8" t="n">
        <f aca="false">IF(F6=0,"—",(G6+$F$2*H6)/F6)</f>
        <v>0.4</v>
      </c>
      <c r="K6" s="7" t="s">
        <v>221</v>
      </c>
    </row>
    <row r="7" customFormat="false" ht="23.85" hidden="false" customHeight="false" outlineLevel="0" collapsed="false">
      <c r="A7" s="7" t="s">
        <v>110</v>
      </c>
      <c r="B7" s="5" t="s">
        <v>218</v>
      </c>
      <c r="C7" s="21" t="n">
        <v>1</v>
      </c>
      <c r="D7" s="22" t="s">
        <v>219</v>
      </c>
      <c r="E7" s="5" t="s">
        <v>222</v>
      </c>
      <c r="F7" s="5" t="n">
        <f aca="false">COUNTIF(Tarefas!$D$5:$D$200,$A7)</f>
        <v>3</v>
      </c>
      <c r="G7" s="5" t="n">
        <f aca="false">COUNTIFS(Tarefas!$D$5:$D$200,$A7,Tarefas!$G$5:$G$200,G$4)</f>
        <v>0</v>
      </c>
      <c r="H7" s="5" t="n">
        <f aca="false">COUNTIFS(Tarefas!$D$5:$D$200,$A7,Tarefas!$G$5:$G$200,H$4)</f>
        <v>1</v>
      </c>
      <c r="I7" s="5" t="n">
        <f aca="false">COUNTIFS(Tarefas!$D$5:$D$200,$A7,Tarefas!$G$5:$G$200,I$4)</f>
        <v>2</v>
      </c>
      <c r="J7" s="8" t="n">
        <f aca="false">IF(F7=0,"—",(G7+$F$2*H7)/F7)</f>
        <v>0.166666666666667</v>
      </c>
      <c r="K7" s="7" t="s">
        <v>223</v>
      </c>
    </row>
    <row r="8" customFormat="false" ht="15" hidden="false" customHeight="false" outlineLevel="0" collapsed="false">
      <c r="A8" s="7" t="s">
        <v>145</v>
      </c>
      <c r="B8" s="5" t="s">
        <v>218</v>
      </c>
      <c r="C8" s="21" t="n">
        <v>1</v>
      </c>
      <c r="D8" s="22" t="s">
        <v>219</v>
      </c>
      <c r="E8" s="5" t="s">
        <v>224</v>
      </c>
      <c r="F8" s="5" t="n">
        <f aca="false">COUNTIF(Tarefas!$D$5:$D$200,$A8)</f>
        <v>2</v>
      </c>
      <c r="G8" s="5" t="n">
        <f aca="false">COUNTIFS(Tarefas!$D$5:$D$200,$A8,Tarefas!$G$5:$G$200,G$4)</f>
        <v>0</v>
      </c>
      <c r="H8" s="5" t="n">
        <f aca="false">COUNTIFS(Tarefas!$D$5:$D$200,$A8,Tarefas!$G$5:$G$200,H$4)</f>
        <v>1</v>
      </c>
      <c r="I8" s="5" t="n">
        <f aca="false">COUNTIFS(Tarefas!$D$5:$D$200,$A8,Tarefas!$G$5:$G$200,I$4)</f>
        <v>1</v>
      </c>
      <c r="J8" s="8" t="n">
        <f aca="false">IF(F8=0,"—",(G8+$F$2*H8)/F8)</f>
        <v>0.25</v>
      </c>
      <c r="K8" s="7" t="s">
        <v>225</v>
      </c>
    </row>
    <row r="9" customFormat="false" ht="15" hidden="false" customHeight="false" outlineLevel="0" collapsed="false">
      <c r="A9" s="7" t="s">
        <v>122</v>
      </c>
      <c r="B9" s="5" t="s">
        <v>218</v>
      </c>
      <c r="C9" s="21" t="n">
        <v>1</v>
      </c>
      <c r="D9" s="22" t="s">
        <v>219</v>
      </c>
      <c r="E9" s="5" t="s">
        <v>20</v>
      </c>
      <c r="F9" s="5" t="n">
        <f aca="false">COUNTIF(Tarefas!$D$5:$D$200,$A9)</f>
        <v>2</v>
      </c>
      <c r="G9" s="5" t="n">
        <f aca="false">COUNTIFS(Tarefas!$D$5:$D$200,$A9,Tarefas!$G$5:$G$200,G$4)</f>
        <v>0</v>
      </c>
      <c r="H9" s="5" t="n">
        <f aca="false">COUNTIFS(Tarefas!$D$5:$D$200,$A9,Tarefas!$G$5:$G$200,H$4)</f>
        <v>0</v>
      </c>
      <c r="I9" s="5" t="n">
        <f aca="false">COUNTIFS(Tarefas!$D$5:$D$200,$A9,Tarefas!$G$5:$G$200,I$4)</f>
        <v>2</v>
      </c>
      <c r="J9" s="8" t="n">
        <f aca="false">IF(F9=0,"—",(G9+$F$2*H9)/F9)</f>
        <v>0</v>
      </c>
      <c r="K9" s="7" t="s">
        <v>226</v>
      </c>
    </row>
    <row r="10" customFormat="false" ht="23.85" hidden="false" customHeight="false" outlineLevel="0" collapsed="false">
      <c r="A10" s="7" t="s">
        <v>127</v>
      </c>
      <c r="B10" s="5" t="s">
        <v>218</v>
      </c>
      <c r="C10" s="21" t="n">
        <v>1.5</v>
      </c>
      <c r="D10" s="22" t="s">
        <v>219</v>
      </c>
      <c r="E10" s="5" t="s">
        <v>20</v>
      </c>
      <c r="F10" s="5" t="n">
        <f aca="false">COUNTIF(Tarefas!$D$5:$D$200,$A10)</f>
        <v>6</v>
      </c>
      <c r="G10" s="5" t="n">
        <f aca="false">COUNTIFS(Tarefas!$D$5:$D$200,$A10,Tarefas!$G$5:$G$200,G$4)</f>
        <v>0</v>
      </c>
      <c r="H10" s="5" t="n">
        <f aca="false">COUNTIFS(Tarefas!$D$5:$D$200,$A10,Tarefas!$G$5:$G$200,H$4)</f>
        <v>0</v>
      </c>
      <c r="I10" s="5" t="n">
        <f aca="false">COUNTIFS(Tarefas!$D$5:$D$200,$A10,Tarefas!$G$5:$G$200,I$4)</f>
        <v>6</v>
      </c>
      <c r="J10" s="8" t="n">
        <f aca="false">IF(F10=0,"—",(G10+$F$2*H10)/F10)</f>
        <v>0</v>
      </c>
      <c r="K10" s="7" t="s">
        <v>227</v>
      </c>
    </row>
    <row r="11" customFormat="false" ht="15" hidden="false" customHeight="false" outlineLevel="0" collapsed="false">
      <c r="A11" s="7" t="s">
        <v>13</v>
      </c>
      <c r="B11" s="5" t="s">
        <v>228</v>
      </c>
      <c r="C11" s="21" t="n">
        <v>1.5</v>
      </c>
      <c r="D11" s="22" t="s">
        <v>219</v>
      </c>
      <c r="E11" s="5" t="s">
        <v>11</v>
      </c>
      <c r="F11" s="5" t="n">
        <f aca="false">COUNTIF(Tarefas!$D$5:$D$200,$A11)</f>
        <v>6</v>
      </c>
      <c r="G11" s="5" t="n">
        <f aca="false">COUNTIFS(Tarefas!$D$5:$D$200,$A11,Tarefas!$G$5:$G$200,G$4)</f>
        <v>0</v>
      </c>
      <c r="H11" s="5" t="n">
        <f aca="false">COUNTIFS(Tarefas!$D$5:$D$200,$A11,Tarefas!$G$5:$G$200,H$4)</f>
        <v>3</v>
      </c>
      <c r="I11" s="5" t="n">
        <f aca="false">COUNTIFS(Tarefas!$D$5:$D$200,$A11,Tarefas!$G$5:$G$200,I$4)</f>
        <v>3</v>
      </c>
      <c r="J11" s="8" t="n">
        <f aca="false">IF(F11=0,"—",(G11+$F$2*H11)/F11)</f>
        <v>0.25</v>
      </c>
      <c r="K11" s="7" t="s">
        <v>229</v>
      </c>
    </row>
    <row r="12" customFormat="false" ht="15" hidden="false" customHeight="false" outlineLevel="0" collapsed="false">
      <c r="A12" s="7" t="s">
        <v>178</v>
      </c>
      <c r="B12" s="5" t="s">
        <v>228</v>
      </c>
      <c r="C12" s="21" t="n">
        <v>1</v>
      </c>
      <c r="D12" s="22" t="s">
        <v>219</v>
      </c>
      <c r="E12" s="5" t="s">
        <v>17</v>
      </c>
      <c r="F12" s="5" t="n">
        <f aca="false">COUNTIF(Tarefas!$D$5:$D$200,$A12)</f>
        <v>4</v>
      </c>
      <c r="G12" s="5" t="n">
        <f aca="false">COUNTIFS(Tarefas!$D$5:$D$200,$A12,Tarefas!$G$5:$G$200,G$4)</f>
        <v>0</v>
      </c>
      <c r="H12" s="5" t="n">
        <f aca="false">COUNTIFS(Tarefas!$D$5:$D$200,$A12,Tarefas!$G$5:$G$200,H$4)</f>
        <v>0</v>
      </c>
      <c r="I12" s="5" t="n">
        <f aca="false">COUNTIFS(Tarefas!$D$5:$D$200,$A12,Tarefas!$G$5:$G$200,I$4)</f>
        <v>4</v>
      </c>
      <c r="J12" s="8" t="n">
        <f aca="false">IF(F12=0,"—",(G12+$F$2*H12)/F12)</f>
        <v>0</v>
      </c>
      <c r="K12" s="7" t="s">
        <v>230</v>
      </c>
    </row>
    <row r="13" customFormat="false" ht="15" hidden="false" customHeight="false" outlineLevel="0" collapsed="false">
      <c r="A13" s="7" t="s">
        <v>131</v>
      </c>
      <c r="B13" s="5" t="s">
        <v>228</v>
      </c>
      <c r="C13" s="21" t="n">
        <v>1</v>
      </c>
      <c r="D13" s="22" t="s">
        <v>219</v>
      </c>
      <c r="E13" s="5" t="s">
        <v>231</v>
      </c>
      <c r="F13" s="5" t="n">
        <f aca="false">COUNTIF(Tarefas!$D$5:$D$200,$A13)</f>
        <v>6</v>
      </c>
      <c r="G13" s="5" t="n">
        <f aca="false">COUNTIFS(Tarefas!$D$5:$D$200,$A13,Tarefas!$G$5:$G$200,G$4)</f>
        <v>0</v>
      </c>
      <c r="H13" s="5" t="n">
        <f aca="false">COUNTIFS(Tarefas!$D$5:$D$200,$A13,Tarefas!$G$5:$G$200,H$4)</f>
        <v>0</v>
      </c>
      <c r="I13" s="5" t="n">
        <f aca="false">COUNTIFS(Tarefas!$D$5:$D$200,$A13,Tarefas!$G$5:$G$200,I$4)</f>
        <v>6</v>
      </c>
      <c r="J13" s="8" t="n">
        <f aca="false">IF(F13=0,"—",(G13+$F$2*H13)/F13)</f>
        <v>0</v>
      </c>
      <c r="K13" s="7" t="s">
        <v>232</v>
      </c>
    </row>
    <row r="14" customFormat="false" ht="15" hidden="false" customHeight="false" outlineLevel="0" collapsed="false">
      <c r="A14" s="7" t="s">
        <v>233</v>
      </c>
      <c r="B14" s="5" t="s">
        <v>228</v>
      </c>
      <c r="C14" s="21" t="n">
        <v>1.5</v>
      </c>
      <c r="D14" s="22" t="s">
        <v>234</v>
      </c>
      <c r="E14" s="5" t="s">
        <v>21</v>
      </c>
      <c r="F14" s="5" t="n">
        <f aca="false">COUNTIF(Tarefas!$D$5:$D$200,$A14)</f>
        <v>0</v>
      </c>
      <c r="G14" s="5" t="n">
        <f aca="false">COUNTIFS(Tarefas!$D$5:$D$200,$A14,Tarefas!$G$5:$G$200,G$4)</f>
        <v>0</v>
      </c>
      <c r="H14" s="5" t="n">
        <f aca="false">COUNTIFS(Tarefas!$D$5:$D$200,$A14,Tarefas!$G$5:$G$200,H$4)</f>
        <v>0</v>
      </c>
      <c r="I14" s="5" t="n">
        <f aca="false">COUNTIFS(Tarefas!$D$5:$D$200,$A14,Tarefas!$G$5:$G$200,I$4)</f>
        <v>0</v>
      </c>
      <c r="J14" s="8" t="str">
        <f aca="false">IF(F14=0,"—",(G14+$F$2*H14)/F14)</f>
        <v>—</v>
      </c>
      <c r="K14" s="7" t="s">
        <v>235</v>
      </c>
    </row>
    <row r="15" customFormat="false" ht="15" hidden="false" customHeight="false" outlineLevel="0" collapsed="false">
      <c r="A15" s="7" t="s">
        <v>236</v>
      </c>
      <c r="B15" s="5" t="s">
        <v>228</v>
      </c>
      <c r="C15" s="21" t="n">
        <v>1.5</v>
      </c>
      <c r="D15" s="22" t="s">
        <v>234</v>
      </c>
      <c r="E15" s="5" t="s">
        <v>21</v>
      </c>
      <c r="F15" s="5" t="n">
        <f aca="false">COUNTIF(Tarefas!$D$5:$D$200,$A15)</f>
        <v>0</v>
      </c>
      <c r="G15" s="5" t="n">
        <f aca="false">COUNTIFS(Tarefas!$D$5:$D$200,$A15,Tarefas!$G$5:$G$200,G$4)</f>
        <v>0</v>
      </c>
      <c r="H15" s="5" t="n">
        <f aca="false">COUNTIFS(Tarefas!$D$5:$D$200,$A15,Tarefas!$G$5:$G$200,H$4)</f>
        <v>0</v>
      </c>
      <c r="I15" s="5" t="n">
        <f aca="false">COUNTIFS(Tarefas!$D$5:$D$200,$A15,Tarefas!$G$5:$G$200,I$4)</f>
        <v>0</v>
      </c>
      <c r="J15" s="8" t="str">
        <f aca="false">IF(F15=0,"—",(G15+$F$2*H15)/F15)</f>
        <v>—</v>
      </c>
      <c r="K15" s="7" t="s">
        <v>237</v>
      </c>
    </row>
    <row r="17" customFormat="false" ht="15" hidden="false" customHeight="false" outlineLevel="0" collapsed="false">
      <c r="A17" s="2" t="s">
        <v>238</v>
      </c>
    </row>
  </sheetData>
  <dataValidations count="1">
    <dataValidation allowBlank="false" errorStyle="stop" operator="between" showDropDown="false" showErrorMessage="false" showInputMessage="false" sqref="D5:D15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2026-10-25T16:49:21Z</dcterms:created>
  <dc:creator>openpyxl</dc:creator>
  <dc:description/>
  <dc:language>en-US</dc:language>
  <cp:lastModifiedBy/>
  <dcterms:modified xsi:type="dcterms:W3CDTF">2026-10-25T16:49:21Z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